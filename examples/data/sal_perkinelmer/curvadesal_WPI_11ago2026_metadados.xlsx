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a/Library/CloudStorage/GoogleDrive-ciotti@usp.br/My Drive/RedesPesquisa/Nacionais/INCT_RENOMO/INCT_Renomo_SP_PR/Coletas/PilotoSP_18agosto2026/Laboratorio/WPI/curvas_salinidade/"/>
    </mc:Choice>
  </mc:AlternateContent>
  <xr:revisionPtr revIDLastSave="0" documentId="13_ncr:1_{18AD0C5A-3D33-3A40-8152-AD696AD1ED1A}" xr6:coauthVersionLast="47" xr6:coauthVersionMax="47" xr10:uidLastSave="{00000000-0000-0000-0000-000000000000}"/>
  <bookViews>
    <workbookView xWindow="17480" yWindow="17400" windowWidth="28040" windowHeight="17180" xr2:uid="{E1177406-49D1-A048-90FC-D9B8372AA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7" i="1"/>
  <c r="F7" i="1" s="1"/>
  <c r="E16" i="1" l="1"/>
</calcChain>
</file>

<file path=xl/sharedStrings.xml><?xml version="1.0" encoding="utf-8"?>
<sst xmlns="http://schemas.openxmlformats.org/spreadsheetml/2006/main" count="29" uniqueCount="29">
  <si>
    <t>Curva de Sal</t>
  </si>
  <si>
    <t>Sal esperado</t>
  </si>
  <si>
    <t>milliq</t>
  </si>
  <si>
    <t>sal medida</t>
  </si>
  <si>
    <t>sonda YSI</t>
  </si>
  <si>
    <t>obs</t>
  </si>
  <si>
    <t>100 ml</t>
  </si>
  <si>
    <t>Padrao 40 ppm</t>
  </si>
  <si>
    <t>frasco</t>
  </si>
  <si>
    <t>Leituras em Paralelo com Perkin Elmer cubeta de 10 cm</t>
  </si>
  <si>
    <t>WPI caminho otico de 200 cm</t>
  </si>
  <si>
    <t xml:space="preserve">Padrão feito com NaCl </t>
  </si>
  <si>
    <t>volume ml</t>
  </si>
  <si>
    <t>Muflado</t>
  </si>
  <si>
    <t>peso gr</t>
  </si>
  <si>
    <t>11 de agosto de 2026</t>
  </si>
  <si>
    <t>PerkinElmer</t>
  </si>
  <si>
    <t xml:space="preserve">Cubeta 10 cm </t>
  </si>
  <si>
    <t>Milliq 1</t>
  </si>
  <si>
    <t>Milliq2</t>
  </si>
  <si>
    <t>Sample229</t>
  </si>
  <si>
    <t>Sample230</t>
  </si>
  <si>
    <t>Sample231</t>
  </si>
  <si>
    <t>Sample232</t>
  </si>
  <si>
    <t>Sample233</t>
  </si>
  <si>
    <t>Sample234</t>
  </si>
  <si>
    <t>Sample235</t>
  </si>
  <si>
    <t>Sample236</t>
  </si>
  <si>
    <t>Sample237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</si>
</sst>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755D-EEDD-C043-A21B-4339E3E254CB}">
  <dimension ref="A1:M16"/>
  <sheetViews>
    <sheetView tabSelected="1" zoomScale="120" zoomScaleNormal="120" workbookViewId="0">
      <selection activeCell="N11" sqref="N11"/>
    </sheetView>
  </sheetViews>
  <sheetFormatPr baseColWidth="10" defaultRowHeight="16" x14ac:dyDescent="0.2"/>
  <cols>
    <col min="5" max="5" width="15" customWidth="1"/>
  </cols>
  <sheetData>
    <row r="1" spans="1:13" x14ac:dyDescent="0.2">
      <c r="F1" t="s">
        <v>15</v>
      </c>
      <c r="K1" t="s">
        <v>14</v>
      </c>
      <c r="L1" t="s">
        <v>12</v>
      </c>
    </row>
    <row r="2" spans="1:13" x14ac:dyDescent="0.2">
      <c r="A2" t="s">
        <v>9</v>
      </c>
      <c r="F2" t="s">
        <v>10</v>
      </c>
      <c r="I2" t="s">
        <v>11</v>
      </c>
      <c r="K2">
        <v>20.013999999999999</v>
      </c>
      <c r="L2">
        <v>500</v>
      </c>
      <c r="M2">
        <f>K2/0.5</f>
        <v>40.027999999999999</v>
      </c>
    </row>
    <row r="3" spans="1:13" x14ac:dyDescent="0.2">
      <c r="I3" t="s">
        <v>13</v>
      </c>
    </row>
    <row r="5" spans="1:13" x14ac:dyDescent="0.2">
      <c r="E5" t="s">
        <v>0</v>
      </c>
      <c r="F5" t="s">
        <v>6</v>
      </c>
      <c r="H5" t="s">
        <v>4</v>
      </c>
    </row>
    <row r="6" spans="1:13" x14ac:dyDescent="0.2">
      <c r="C6" t="s">
        <v>8</v>
      </c>
      <c r="D6" t="s">
        <v>2</v>
      </c>
      <c r="E6" t="s">
        <v>7</v>
      </c>
      <c r="F6" t="s">
        <v>1</v>
      </c>
      <c r="H6" t="s">
        <v>3</v>
      </c>
      <c r="I6" t="s">
        <v>5</v>
      </c>
      <c r="K6" t="s">
        <v>16</v>
      </c>
      <c r="L6" t="s">
        <v>17</v>
      </c>
    </row>
    <row r="7" spans="1:13" x14ac:dyDescent="0.2">
      <c r="C7">
        <v>1</v>
      </c>
      <c r="D7">
        <v>100</v>
      </c>
      <c r="E7">
        <f>100-D7</f>
        <v>0</v>
      </c>
      <c r="F7">
        <f t="shared" ref="F7:F13" si="0">((D7*0) + (E7*40))/100</f>
        <v>0</v>
      </c>
      <c r="H7">
        <v>0</v>
      </c>
      <c r="K7" t="s">
        <v>21</v>
      </c>
    </row>
    <row r="8" spans="1:13" x14ac:dyDescent="0.2">
      <c r="C8">
        <v>2</v>
      </c>
      <c r="D8">
        <v>60</v>
      </c>
      <c r="E8">
        <f t="shared" ref="E8:E13" si="1">100-D8</f>
        <v>40</v>
      </c>
      <c r="F8">
        <f t="shared" si="0"/>
        <v>16</v>
      </c>
      <c r="H8">
        <v>15.5</v>
      </c>
      <c r="K8" t="s">
        <v>22</v>
      </c>
    </row>
    <row r="9" spans="1:13" x14ac:dyDescent="0.2">
      <c r="C9">
        <v>3</v>
      </c>
      <c r="D9">
        <v>50</v>
      </c>
      <c r="E9">
        <f t="shared" si="1"/>
        <v>50</v>
      </c>
      <c r="F9">
        <f t="shared" si="0"/>
        <v>20</v>
      </c>
      <c r="H9">
        <v>20.3</v>
      </c>
      <c r="K9" t="s">
        <v>23</v>
      </c>
    </row>
    <row r="10" spans="1:13" x14ac:dyDescent="0.2">
      <c r="C10">
        <v>4</v>
      </c>
      <c r="D10">
        <v>35</v>
      </c>
      <c r="E10">
        <f t="shared" si="1"/>
        <v>65</v>
      </c>
      <c r="F10">
        <f t="shared" si="0"/>
        <v>26</v>
      </c>
      <c r="H10">
        <v>26.1</v>
      </c>
      <c r="K10" t="s">
        <v>24</v>
      </c>
    </row>
    <row r="11" spans="1:13" x14ac:dyDescent="0.2">
      <c r="C11">
        <v>5</v>
      </c>
      <c r="D11">
        <v>20</v>
      </c>
      <c r="E11">
        <f t="shared" si="1"/>
        <v>80</v>
      </c>
      <c r="F11">
        <f t="shared" si="0"/>
        <v>32</v>
      </c>
      <c r="H11">
        <v>32.4</v>
      </c>
      <c r="K11" t="s">
        <v>25</v>
      </c>
    </row>
    <row r="12" spans="1:13" x14ac:dyDescent="0.2">
      <c r="C12">
        <v>6</v>
      </c>
      <c r="D12">
        <v>10</v>
      </c>
      <c r="E12">
        <f t="shared" si="1"/>
        <v>90</v>
      </c>
      <c r="F12">
        <f t="shared" si="0"/>
        <v>36</v>
      </c>
      <c r="H12">
        <v>34.6</v>
      </c>
      <c r="K12" t="s">
        <v>26</v>
      </c>
    </row>
    <row r="13" spans="1:13" x14ac:dyDescent="0.2">
      <c r="C13">
        <v>7</v>
      </c>
      <c r="D13">
        <v>0</v>
      </c>
      <c r="E13">
        <f t="shared" si="1"/>
        <v>100</v>
      </c>
      <c r="F13">
        <f t="shared" si="0"/>
        <v>40</v>
      </c>
      <c r="H13">
        <v>40.700000000000003</v>
      </c>
      <c r="K13" t="s">
        <v>27</v>
      </c>
    </row>
    <row r="14" spans="1:13" x14ac:dyDescent="0.2">
      <c r="J14" t="s">
        <v>18</v>
      </c>
      <c r="K14" t="s">
        <v>20</v>
      </c>
    </row>
    <row r="15" spans="1:13" x14ac:dyDescent="0.2">
      <c r="J15" t="s">
        <v>19</v>
      </c>
      <c r="K15" t="s">
        <v>28</v>
      </c>
    </row>
    <row r="16" spans="1:13" x14ac:dyDescent="0.2">
      <c r="E16">
        <f>SUM(E7:E13)</f>
        <v>425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Ciotti</dc:creator>
  <cp:lastModifiedBy>Aurea Ciotti</cp:lastModifiedBy>
  <cp:lastPrinted>2026-08-03T18:17:55Z</cp:lastPrinted>
  <dcterms:created xsi:type="dcterms:W3CDTF">2026-08-03T14:12:49Z</dcterms:created>
  <dcterms:modified xsi:type="dcterms:W3CDTF">2026-08-26T20:00:42Z</dcterms:modified>
</cp:coreProperties>
</file>